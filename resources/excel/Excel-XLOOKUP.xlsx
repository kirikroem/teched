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chEd\Open Space\"/>
    </mc:Choice>
  </mc:AlternateContent>
  <xr:revisionPtr revIDLastSave="0" documentId="8_{7C92838B-A74A-49A0-8276-599C5BA18323}" xr6:coauthVersionLast="47" xr6:coauthVersionMax="47" xr10:uidLastSave="{00000000-0000-0000-0000-000000000000}"/>
  <bookViews>
    <workbookView xWindow="-98" yWindow="-98" windowWidth="21795" windowHeight="12345" activeTab="5" xr2:uid="{34EF462A-A1F2-40A3-A4B7-381D112F500D}"/>
  </bookViews>
  <sheets>
    <sheet name="Thumb" sheetId="2" r:id="rId1"/>
    <sheet name="Appromiate" sheetId="3" r:id="rId2"/>
    <sheet name="Default" sheetId="1" r:id="rId3"/>
    <sheet name="Multiple Values" sheetId="5" r:id="rId4"/>
    <sheet name="Two-way" sheetId="6" r:id="rId5"/>
    <sheet name="Multiple criteri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8" l="1" a="1"/>
  <c r="H8" i="8" s="1"/>
  <c r="H5" i="1"/>
  <c r="I7" i="6" a="1"/>
  <c r="I7" i="6" s="1"/>
  <c r="C5" i="5" a="1"/>
  <c r="C5" i="5" s="1"/>
  <c r="F5" i="3"/>
  <c r="G5" i="2"/>
  <c r="D6" i="1"/>
  <c r="D7" i="1"/>
  <c r="D8" i="1"/>
  <c r="D9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<sst xmlns="http://schemas.openxmlformats.org/spreadsheetml/2006/main" count="130" uniqueCount="83">
  <si>
    <t>XLOOKUP - basic exact match</t>
  </si>
  <si>
    <t>Movie</t>
  </si>
  <si>
    <t>Year</t>
  </si>
  <si>
    <t>Rank</t>
  </si>
  <si>
    <t>Sales</t>
  </si>
  <si>
    <t>Fargo</t>
  </si>
  <si>
    <t>L.A. Confidential</t>
  </si>
  <si>
    <t>The Sixth Sense</t>
  </si>
  <si>
    <t>Toy Story</t>
  </si>
  <si>
    <t>Unforgiven</t>
  </si>
  <si>
    <t>XLOOKUP function</t>
  </si>
  <si>
    <t>Planet</t>
  </si>
  <si>
    <t>Satellites</t>
  </si>
  <si>
    <t>Diameter (km)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</si>
  <si>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</si>
  <si>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</si>
  <si>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</si>
  <si>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</si>
  <si>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</si>
  <si>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</si>
  <si>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</si>
  <si>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</si>
  <si>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Pluto</t>
  </si>
  <si>
    <t>Diameter</t>
  </si>
  <si>
    <t>Quantity</t>
  </si>
  <si>
    <t>Discount</t>
  </si>
  <si>
    <t>XLOOKUP basic approximate match</t>
  </si>
  <si>
    <t>ID</t>
  </si>
  <si>
    <t>First</t>
  </si>
  <si>
    <t>Last</t>
  </si>
  <si>
    <t>Department</t>
  </si>
  <si>
    <t>Marketing</t>
  </si>
  <si>
    <t>Engineering</t>
  </si>
  <si>
    <t>Tan</t>
  </si>
  <si>
    <t>Operation</t>
  </si>
  <si>
    <t>Administration</t>
  </si>
  <si>
    <t>XLOOKUP - multiple values</t>
  </si>
  <si>
    <t>Lima</t>
  </si>
  <si>
    <t>Sreng</t>
  </si>
  <si>
    <t>Samang</t>
  </si>
  <si>
    <t>Chhay</t>
  </si>
  <si>
    <t>Chan</t>
  </si>
  <si>
    <t>Thin</t>
  </si>
  <si>
    <t>Manika</t>
  </si>
  <si>
    <t>Yim</t>
  </si>
  <si>
    <t>Saron</t>
  </si>
  <si>
    <t>Nhoung</t>
  </si>
  <si>
    <t>Mesa</t>
  </si>
  <si>
    <t>Rattana</t>
  </si>
  <si>
    <t>Keo</t>
  </si>
  <si>
    <t>Radet</t>
  </si>
  <si>
    <t>Phlook</t>
  </si>
  <si>
    <t>Sovanny</t>
  </si>
  <si>
    <t>Kong</t>
  </si>
  <si>
    <t>XLOOKUP - two-way lookup</t>
  </si>
  <si>
    <t>A</t>
  </si>
  <si>
    <t>B</t>
  </si>
  <si>
    <t>C</t>
  </si>
  <si>
    <t>D</t>
  </si>
  <si>
    <t>Vinyl</t>
  </si>
  <si>
    <t>Wood</t>
  </si>
  <si>
    <t>Glass</t>
  </si>
  <si>
    <t>Steel</t>
  </si>
  <si>
    <t>Titanium</t>
  </si>
  <si>
    <t>Material</t>
  </si>
  <si>
    <t>Group</t>
  </si>
  <si>
    <t>Result</t>
  </si>
  <si>
    <t>Avartar</t>
  </si>
  <si>
    <t>XLOOKUP - multiple criteria</t>
  </si>
  <si>
    <t>Item</t>
  </si>
  <si>
    <t>Size</t>
  </si>
  <si>
    <t>Color</t>
  </si>
  <si>
    <t>Price</t>
  </si>
  <si>
    <t>T-shirt</t>
  </si>
  <si>
    <t>Small</t>
  </si>
  <si>
    <t>Red</t>
  </si>
  <si>
    <t>Blue</t>
  </si>
  <si>
    <t>Gray</t>
  </si>
  <si>
    <t>Black</t>
  </si>
  <si>
    <t>Hoodie</t>
  </si>
  <si>
    <t>Hat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</si>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</sst>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&quot;m&quot;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AI Sans"/>
      <family val="2"/>
    </font>
    <font>
      <b/>
      <sz val="11"/>
      <color theme="1"/>
      <name val="OpenAI Sans"/>
      <family val="2"/>
    </font>
    <font>
      <sz val="11"/>
      <name val="OpenAI Sans"/>
      <family val="2"/>
    </font>
    <font>
      <b/>
      <sz val="11"/>
      <color rgb="FF1B1C1D"/>
      <name val="OpenAI Sans"/>
      <family val="2"/>
    </font>
    <font>
      <sz val="11"/>
      <color rgb="FF1B1C1D"/>
      <name val="OpenAI Sans"/>
      <family val="2"/>
    </font>
    <font>
      <b/>
      <sz val="12"/>
      <color theme="1"/>
      <name val="Indeed Sans"/>
      <family val="2"/>
    </font>
    <font>
      <sz val="11"/>
      <color theme="1"/>
      <name val="Indeed Sans"/>
      <family val="2"/>
    </font>
    <font>
      <b/>
      <sz val="11"/>
      <color theme="1"/>
      <name val="Indeed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2" xfId="0" applyFont="1" applyFill="1" applyBorder="1"/>
    <xf numFmtId="0" fontId="2" fillId="0" borderId="2" xfId="0" applyFont="1" applyBorder="1"/>
    <xf numFmtId="165" fontId="4" fillId="0" borderId="2" xfId="2" applyNumberFormat="1" applyFont="1" applyFill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/>
    </xf>
    <xf numFmtId="165" fontId="2" fillId="0" borderId="2" xfId="2" applyNumberFormat="1" applyFont="1" applyBorder="1"/>
    <xf numFmtId="9" fontId="4" fillId="0" borderId="2" xfId="3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9" fontId="2" fillId="0" borderId="2" xfId="3" applyFont="1" applyBorder="1" applyAlignment="1">
      <alignment vertical="center"/>
    </xf>
    <xf numFmtId="9" fontId="2" fillId="0" borderId="2" xfId="3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4" borderId="2" xfId="0" applyFont="1" applyFill="1" applyBorder="1" applyAlignment="1">
      <alignment horizontal="center"/>
    </xf>
    <xf numFmtId="2" fontId="8" fillId="0" borderId="2" xfId="0" applyNumberFormat="1" applyFont="1" applyBorder="1"/>
    <xf numFmtId="0" fontId="8" fillId="0" borderId="2" xfId="0" applyFont="1" applyBorder="1"/>
    <xf numFmtId="0" fontId="8" fillId="3" borderId="2" xfId="0" applyFont="1" applyFill="1" applyBorder="1"/>
    <xf numFmtId="0" fontId="9" fillId="0" borderId="0" xfId="0" applyFont="1"/>
    <xf numFmtId="0" fontId="8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8" fillId="0" borderId="1" xfId="1" applyNumberFormat="1" applyFont="1" applyBorder="1"/>
    <xf numFmtId="164" fontId="8" fillId="0" borderId="1" xfId="1" applyNumberFormat="1" applyFont="1" applyBorder="1" applyAlignment="1">
      <alignment horizontal="left"/>
    </xf>
    <xf numFmtId="0" fontId="8" fillId="4" borderId="2" xfId="0" applyFont="1" applyFill="1" applyBorder="1"/>
    <xf numFmtId="44" fontId="8" fillId="0" borderId="2" xfId="1" applyFont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B05D-AFB5-40F9-8DFF-92F0A9788636}">
  <dimension ref="B2:G13"/>
  <sheetViews>
    <sheetView showGridLines="0" workbookViewId="0">
      <selection activeCell="E23" sqref="E23"/>
    </sheetView>
  </sheetViews>
  <sheetFormatPr defaultRowHeight="15" x14ac:dyDescent="0.5"/>
  <cols>
    <col min="1" max="1" width="9.06640625" style="1"/>
    <col min="2" max="3" width="11.33203125" style="1" customWidth="1"/>
    <col min="4" max="4" width="14.9296875" style="1" customWidth="1"/>
    <col min="5" max="5" width="9.06640625" style="1"/>
    <col min="6" max="7" width="11.46484375" style="1" customWidth="1"/>
    <col min="8" max="16384" width="9.06640625" style="1"/>
  </cols>
  <sheetData>
    <row r="2" spans="2:7" x14ac:dyDescent="0.5">
      <c r="B2" s="2" t="s">
        <v>10</v>
      </c>
    </row>
    <row r="4" spans="2:7" x14ac:dyDescent="0.5">
      <c r="B4" s="3" t="s">
        <v>11</v>
      </c>
      <c r="C4" s="3" t="s">
        <v>12</v>
      </c>
      <c r="D4" s="3" t="s">
        <v>13</v>
      </c>
      <c r="F4" s="3" t="s">
        <v>11</v>
      </c>
      <c r="G4" s="3" t="s">
        <v>23</v>
      </c>
    </row>
    <row r="5" spans="2:7" x14ac:dyDescent="0.5">
      <c r="B5" s="4" t="s">
        <v>14</v>
      </c>
      <c r="C5" s="5">
        <v>0</v>
      </c>
      <c r="D5" s="5">
        <v>0</v>
      </c>
      <c r="F5" s="4" t="s">
        <v>17</v>
      </c>
      <c r="G5" s="7">
        <f>_xlfn.XLOOKUP(F5, B5:B13, D5:D13)</f>
        <v>6792</v>
      </c>
    </row>
    <row r="6" spans="2:7" x14ac:dyDescent="0.5">
      <c r="B6" s="4" t="s">
        <v>15</v>
      </c>
      <c r="C6" s="6">
        <v>0</v>
      </c>
      <c r="D6" s="6">
        <v>12104</v>
      </c>
    </row>
    <row r="7" spans="2:7" x14ac:dyDescent="0.5">
      <c r="B7" s="4" t="s">
        <v>16</v>
      </c>
      <c r="C7" s="6">
        <v>1</v>
      </c>
      <c r="D7" s="6">
        <v>12756</v>
      </c>
    </row>
    <row r="8" spans="2:7" x14ac:dyDescent="0.5">
      <c r="B8" s="4" t="s">
        <v>17</v>
      </c>
      <c r="C8" s="6">
        <v>2</v>
      </c>
      <c r="D8" s="6">
        <v>6792</v>
      </c>
    </row>
    <row r="9" spans="2:7" x14ac:dyDescent="0.5">
      <c r="B9" s="4" t="s">
        <v>18</v>
      </c>
      <c r="C9" s="6">
        <v>67</v>
      </c>
      <c r="D9" s="6">
        <v>142984</v>
      </c>
    </row>
    <row r="10" spans="2:7" x14ac:dyDescent="0.5">
      <c r="B10" s="4" t="s">
        <v>19</v>
      </c>
      <c r="C10" s="6">
        <v>200</v>
      </c>
      <c r="D10" s="6">
        <v>120536</v>
      </c>
    </row>
    <row r="11" spans="2:7" x14ac:dyDescent="0.5">
      <c r="B11" s="4" t="s">
        <v>20</v>
      </c>
      <c r="C11" s="6">
        <v>27</v>
      </c>
      <c r="D11" s="6">
        <v>51118</v>
      </c>
    </row>
    <row r="12" spans="2:7" x14ac:dyDescent="0.5">
      <c r="B12" s="4" t="s">
        <v>21</v>
      </c>
      <c r="C12" s="6">
        <v>13</v>
      </c>
      <c r="D12" s="6">
        <v>49528</v>
      </c>
    </row>
    <row r="13" spans="2:7" x14ac:dyDescent="0.5">
      <c r="B13" s="4" t="s">
        <v>22</v>
      </c>
      <c r="C13" s="6">
        <v>5</v>
      </c>
      <c r="D13" s="6">
        <v>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C3B5-F891-4C92-81D6-40FC513165C2}">
  <dimension ref="B2:F9"/>
  <sheetViews>
    <sheetView showGridLines="0" workbookViewId="0">
      <selection activeCell="E16" sqref="E16"/>
    </sheetView>
  </sheetViews>
  <sheetFormatPr defaultRowHeight="18" customHeight="1" x14ac:dyDescent="0.45"/>
  <cols>
    <col min="1" max="1" width="9.06640625" style="10"/>
    <col min="2" max="3" width="12.73046875" style="10" customWidth="1"/>
    <col min="4" max="4" width="9.06640625" style="10"/>
    <col min="5" max="6" width="11.46484375" style="10" customWidth="1"/>
    <col min="7" max="16384" width="9.06640625" style="10"/>
  </cols>
  <sheetData>
    <row r="2" spans="2:6" ht="18" customHeight="1" x14ac:dyDescent="0.45">
      <c r="B2" s="9" t="s">
        <v>26</v>
      </c>
    </row>
    <row r="4" spans="2:6" ht="18" customHeight="1" x14ac:dyDescent="0.45">
      <c r="B4" s="11" t="s">
        <v>24</v>
      </c>
      <c r="C4" s="11" t="s">
        <v>25</v>
      </c>
      <c r="E4" s="15" t="s">
        <v>24</v>
      </c>
      <c r="F4" s="15" t="s">
        <v>25</v>
      </c>
    </row>
    <row r="5" spans="2:6" ht="18" customHeight="1" x14ac:dyDescent="0.45">
      <c r="B5" s="12">
        <v>0</v>
      </c>
      <c r="C5" s="8">
        <v>0</v>
      </c>
      <c r="E5" s="12">
        <v>29</v>
      </c>
      <c r="F5" s="13">
        <f>_xlfn.XLOOKUP(E5,B5:B9,C5:C9,,-1)</f>
        <v>0.1</v>
      </c>
    </row>
    <row r="6" spans="2:6" ht="18" customHeight="1" x14ac:dyDescent="0.45">
      <c r="B6" s="12">
        <v>10</v>
      </c>
      <c r="C6" s="14">
        <v>0.05</v>
      </c>
    </row>
    <row r="7" spans="2:6" ht="18" customHeight="1" x14ac:dyDescent="0.45">
      <c r="B7" s="12">
        <v>25</v>
      </c>
      <c r="C7" s="14">
        <v>0.1</v>
      </c>
    </row>
    <row r="8" spans="2:6" ht="18" customHeight="1" x14ac:dyDescent="0.45">
      <c r="B8" s="12">
        <v>50</v>
      </c>
      <c r="C8" s="14">
        <v>0.2</v>
      </c>
    </row>
    <row r="9" spans="2:6" ht="18" customHeight="1" x14ac:dyDescent="0.45">
      <c r="B9" s="12">
        <v>100</v>
      </c>
      <c r="C9" s="1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4403-0E63-4F7D-AC67-024AE16C3FEE}">
  <dimension ref="B2:H9"/>
  <sheetViews>
    <sheetView showGridLines="0" zoomScaleNormal="100" workbookViewId="0">
      <selection activeCell="H5" sqref="H5"/>
    </sheetView>
  </sheetViews>
  <sheetFormatPr defaultRowHeight="18" customHeight="1" x14ac:dyDescent="0.45"/>
  <cols>
    <col min="1" max="1" width="5.33203125" style="22" customWidth="1"/>
    <col min="2" max="2" width="18.6640625" style="22" customWidth="1"/>
    <col min="3" max="4" width="9.06640625" style="22"/>
    <col min="5" max="5" width="9.33203125" style="22" bestFit="1" customWidth="1"/>
    <col min="6" max="6" width="9.06640625" style="22" customWidth="1"/>
    <col min="7" max="7" width="9.06640625" style="22"/>
    <col min="8" max="8" width="15.73046875" style="22" customWidth="1"/>
    <col min="9" max="16384" width="9.06640625" style="22"/>
  </cols>
  <sheetData>
    <row r="2" spans="2:8" ht="18" customHeight="1" x14ac:dyDescent="0.45">
      <c r="B2" s="27" t="s">
        <v>0</v>
      </c>
    </row>
    <row r="4" spans="2:8" ht="18" customHeight="1" x14ac:dyDescent="0.45">
      <c r="B4" s="28" t="s">
        <v>1</v>
      </c>
      <c r="C4" s="28" t="s">
        <v>2</v>
      </c>
      <c r="D4" s="28" t="s">
        <v>3</v>
      </c>
      <c r="E4" s="28" t="s">
        <v>4</v>
      </c>
      <c r="G4" s="29" t="s">
        <v>1</v>
      </c>
      <c r="H4" s="30" t="s">
        <v>67</v>
      </c>
    </row>
    <row r="5" spans="2:8" ht="18" customHeight="1" x14ac:dyDescent="0.45">
      <c r="B5" s="30" t="s">
        <v>5</v>
      </c>
      <c r="C5" s="31">
        <v>1996</v>
      </c>
      <c r="D5" s="31">
        <f>_xlfn.RANK.AVG(E5,$E$5:$E$9,0)</f>
        <v>5</v>
      </c>
      <c r="E5" s="32">
        <v>61</v>
      </c>
      <c r="G5" s="29" t="s">
        <v>4</v>
      </c>
      <c r="H5" s="33" t="str">
        <f>_xlfn.XLOOKUP(H4,B5:B9,E5:E9,"Not found")</f>
        <v>Not found</v>
      </c>
    </row>
    <row r="6" spans="2:8" ht="18" customHeight="1" x14ac:dyDescent="0.45">
      <c r="B6" s="30" t="s">
        <v>6</v>
      </c>
      <c r="C6" s="31">
        <v>1997</v>
      </c>
      <c r="D6" s="31">
        <f t="shared" ref="D6:D9" si="0">_xlfn.RANK.AVG(E6,$E$5:$E$9,0)</f>
        <v>4</v>
      </c>
      <c r="E6" s="32">
        <v>126</v>
      </c>
    </row>
    <row r="7" spans="2:8" ht="18" customHeight="1" x14ac:dyDescent="0.45">
      <c r="B7" s="30" t="s">
        <v>7</v>
      </c>
      <c r="C7" s="31">
        <v>1999</v>
      </c>
      <c r="D7" s="31">
        <f t="shared" si="0"/>
        <v>1</v>
      </c>
      <c r="E7" s="32">
        <v>673</v>
      </c>
    </row>
    <row r="8" spans="2:8" ht="18" customHeight="1" x14ac:dyDescent="0.45">
      <c r="B8" s="30" t="s">
        <v>8</v>
      </c>
      <c r="C8" s="31">
        <v>1995</v>
      </c>
      <c r="D8" s="31">
        <f t="shared" si="0"/>
        <v>2</v>
      </c>
      <c r="E8" s="32">
        <v>362</v>
      </c>
    </row>
    <row r="9" spans="2:8" ht="18" customHeight="1" x14ac:dyDescent="0.45">
      <c r="B9" s="30" t="s">
        <v>9</v>
      </c>
      <c r="C9" s="31">
        <v>1992</v>
      </c>
      <c r="D9" s="31">
        <f t="shared" si="0"/>
        <v>3</v>
      </c>
      <c r="E9" s="32">
        <v>165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FAE5-66D1-411E-A03B-F8A4CFA82462}">
  <dimension ref="B2:E16"/>
  <sheetViews>
    <sheetView showGridLines="0" workbookViewId="0">
      <selection activeCell="B2" sqref="B2"/>
    </sheetView>
  </sheetViews>
  <sheetFormatPr defaultRowHeight="18" customHeight="1" x14ac:dyDescent="0.45"/>
  <cols>
    <col min="1" max="1" width="9.06640625" style="10"/>
    <col min="2" max="3" width="12.73046875" style="10" customWidth="1"/>
    <col min="4" max="4" width="9.06640625" style="10"/>
    <col min="5" max="5" width="16.06640625" style="10" customWidth="1"/>
    <col min="6" max="6" width="11.46484375" style="10" customWidth="1"/>
    <col min="7" max="16384" width="9.06640625" style="10"/>
  </cols>
  <sheetData>
    <row r="2" spans="2:5" ht="18" customHeight="1" x14ac:dyDescent="0.45">
      <c r="B2" s="9" t="s">
        <v>36</v>
      </c>
    </row>
    <row r="4" spans="2:5" ht="18" customHeight="1" x14ac:dyDescent="0.45">
      <c r="B4" s="19" t="s">
        <v>27</v>
      </c>
      <c r="C4" s="19" t="s">
        <v>28</v>
      </c>
      <c r="D4" s="19" t="s">
        <v>29</v>
      </c>
      <c r="E4" s="19" t="s">
        <v>30</v>
      </c>
    </row>
    <row r="5" spans="2:5" ht="18" customHeight="1" x14ac:dyDescent="0.45">
      <c r="B5" s="20">
        <v>622</v>
      </c>
      <c r="C5" s="12" t="str" cm="1">
        <f t="array" ref="C5:E5">_xlfn.XLOOKUP(B5,B8:B16,C8:E16)</f>
        <v>Mesa</v>
      </c>
      <c r="D5" s="12" t="str">
        <v>Kong</v>
      </c>
      <c r="E5" s="12" t="str">
        <v>Marketing</v>
      </c>
    </row>
    <row r="7" spans="2:5" ht="18" customHeight="1" x14ac:dyDescent="0.45">
      <c r="B7" s="16" t="s">
        <v>27</v>
      </c>
      <c r="C7" s="16" t="s">
        <v>28</v>
      </c>
      <c r="D7" s="16" t="s">
        <v>29</v>
      </c>
      <c r="E7" s="16" t="s">
        <v>30</v>
      </c>
    </row>
    <row r="8" spans="2:5" ht="18" customHeight="1" x14ac:dyDescent="0.45">
      <c r="B8" s="17">
        <v>841</v>
      </c>
      <c r="C8" s="18" t="s">
        <v>37</v>
      </c>
      <c r="D8" s="18" t="s">
        <v>38</v>
      </c>
      <c r="E8" s="18" t="s">
        <v>34</v>
      </c>
    </row>
    <row r="9" spans="2:5" ht="18" customHeight="1" x14ac:dyDescent="0.45">
      <c r="B9" s="17">
        <v>610</v>
      </c>
      <c r="C9" s="18" t="s">
        <v>39</v>
      </c>
      <c r="D9" s="18" t="s">
        <v>40</v>
      </c>
      <c r="E9" s="18" t="s">
        <v>34</v>
      </c>
    </row>
    <row r="10" spans="2:5" ht="18" customHeight="1" x14ac:dyDescent="0.45">
      <c r="B10" s="17">
        <v>798</v>
      </c>
      <c r="C10" s="18" t="s">
        <v>41</v>
      </c>
      <c r="D10" s="18" t="s">
        <v>42</v>
      </c>
      <c r="E10" s="18" t="s">
        <v>4</v>
      </c>
    </row>
    <row r="11" spans="2:5" ht="18" customHeight="1" x14ac:dyDescent="0.45">
      <c r="B11" s="17">
        <v>841</v>
      </c>
      <c r="C11" s="18" t="s">
        <v>43</v>
      </c>
      <c r="D11" s="18" t="s">
        <v>44</v>
      </c>
      <c r="E11" s="18" t="s">
        <v>34</v>
      </c>
    </row>
    <row r="12" spans="2:5" ht="18" customHeight="1" x14ac:dyDescent="0.45">
      <c r="B12" s="17">
        <v>886</v>
      </c>
      <c r="C12" s="18" t="s">
        <v>45</v>
      </c>
      <c r="D12" s="18" t="s">
        <v>46</v>
      </c>
      <c r="E12" s="18" t="s">
        <v>35</v>
      </c>
    </row>
    <row r="13" spans="2:5" ht="18" customHeight="1" x14ac:dyDescent="0.45">
      <c r="B13" s="17">
        <v>622</v>
      </c>
      <c r="C13" s="18" t="s">
        <v>47</v>
      </c>
      <c r="D13" s="18" t="s">
        <v>53</v>
      </c>
      <c r="E13" s="18" t="s">
        <v>31</v>
      </c>
    </row>
    <row r="14" spans="2:5" ht="18" customHeight="1" x14ac:dyDescent="0.45">
      <c r="B14" s="17">
        <v>601</v>
      </c>
      <c r="C14" s="18" t="s">
        <v>48</v>
      </c>
      <c r="D14" s="18" t="s">
        <v>49</v>
      </c>
      <c r="E14" s="18" t="s">
        <v>32</v>
      </c>
    </row>
    <row r="15" spans="2:5" ht="18" customHeight="1" x14ac:dyDescent="0.45">
      <c r="B15" s="17">
        <v>869</v>
      </c>
      <c r="C15" s="18" t="s">
        <v>50</v>
      </c>
      <c r="D15" s="18" t="s">
        <v>51</v>
      </c>
      <c r="E15" s="18" t="s">
        <v>4</v>
      </c>
    </row>
    <row r="16" spans="2:5" ht="18" customHeight="1" x14ac:dyDescent="0.45">
      <c r="B16" s="17">
        <v>867</v>
      </c>
      <c r="C16" s="18" t="s">
        <v>52</v>
      </c>
      <c r="D16" s="18" t="s">
        <v>33</v>
      </c>
      <c r="E16" s="18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CDA9-562B-4AA4-87CE-7F57DE03005C}">
  <dimension ref="B2:I9"/>
  <sheetViews>
    <sheetView showGridLines="0" workbookViewId="0">
      <selection activeCell="J11" sqref="J11"/>
    </sheetView>
  </sheetViews>
  <sheetFormatPr defaultRowHeight="18" customHeight="1" x14ac:dyDescent="0.45"/>
  <cols>
    <col min="1" max="7" width="9.06640625" style="22"/>
    <col min="8" max="9" width="10.73046875" style="22" customWidth="1"/>
    <col min="10" max="16384" width="9.06640625" style="22"/>
  </cols>
  <sheetData>
    <row r="2" spans="2:9" ht="18" customHeight="1" x14ac:dyDescent="0.45">
      <c r="B2" s="21" t="s">
        <v>54</v>
      </c>
    </row>
    <row r="4" spans="2:9" ht="18" customHeight="1" x14ac:dyDescent="0.45">
      <c r="C4" s="23" t="s">
        <v>55</v>
      </c>
      <c r="D4" s="23" t="s">
        <v>56</v>
      </c>
      <c r="E4" s="23" t="s">
        <v>57</v>
      </c>
      <c r="F4" s="23" t="s">
        <v>58</v>
      </c>
    </row>
    <row r="5" spans="2:9" ht="18" customHeight="1" x14ac:dyDescent="0.45">
      <c r="B5" s="25" t="s">
        <v>59</v>
      </c>
      <c r="C5" s="24">
        <v>10</v>
      </c>
      <c r="D5" s="24">
        <v>1.5009999999999999</v>
      </c>
      <c r="E5" s="24">
        <v>13.23</v>
      </c>
      <c r="F5" s="24">
        <v>51.21</v>
      </c>
      <c r="H5" s="26" t="s">
        <v>64</v>
      </c>
      <c r="I5" s="25" t="s">
        <v>61</v>
      </c>
    </row>
    <row r="6" spans="2:9" ht="18" customHeight="1" x14ac:dyDescent="0.45">
      <c r="B6" s="25" t="s">
        <v>60</v>
      </c>
      <c r="C6" s="24">
        <v>12</v>
      </c>
      <c r="D6" s="24">
        <v>13.25</v>
      </c>
      <c r="E6" s="24">
        <v>15.87</v>
      </c>
      <c r="F6" s="24">
        <v>18.25</v>
      </c>
      <c r="H6" s="26" t="s">
        <v>65</v>
      </c>
      <c r="I6" s="25" t="s">
        <v>56</v>
      </c>
    </row>
    <row r="7" spans="2:9" ht="18" customHeight="1" x14ac:dyDescent="0.45">
      <c r="B7" s="25" t="s">
        <v>61</v>
      </c>
      <c r="C7" s="24">
        <v>15</v>
      </c>
      <c r="D7" s="24">
        <v>17.8</v>
      </c>
      <c r="E7" s="24">
        <v>19.84</v>
      </c>
      <c r="F7" s="24">
        <v>22.56</v>
      </c>
      <c r="H7" s="26" t="s">
        <v>66</v>
      </c>
      <c r="I7" s="24" cm="1">
        <f t="array" ref="I7">_xlfn.XLOOKUP(I6,C4:F4,_xlfn.XLOOKUP(I5,B5:B9,C5:F9))</f>
        <v>17.8</v>
      </c>
    </row>
    <row r="8" spans="2:9" ht="18" customHeight="1" x14ac:dyDescent="0.45">
      <c r="B8" s="25" t="s">
        <v>62</v>
      </c>
      <c r="C8" s="24">
        <v>18</v>
      </c>
      <c r="D8" s="24">
        <v>20.7</v>
      </c>
      <c r="E8" s="24">
        <v>32.81</v>
      </c>
      <c r="F8" s="24">
        <v>27.65</v>
      </c>
    </row>
    <row r="9" spans="2:9" ht="18" customHeight="1" x14ac:dyDescent="0.45">
      <c r="B9" s="25" t="s">
        <v>63</v>
      </c>
      <c r="C9" s="24">
        <v>23</v>
      </c>
      <c r="D9" s="24">
        <v>26.45</v>
      </c>
      <c r="E9" s="24">
        <v>30.42</v>
      </c>
      <c r="F9" s="24">
        <v>32.54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CCBE-61AF-415C-B0B9-FA4E78220345}">
  <dimension ref="B2:H15"/>
  <sheetViews>
    <sheetView showGridLines="0" tabSelected="1" workbookViewId="0">
      <selection activeCell="N13" sqref="N13"/>
    </sheetView>
  </sheetViews>
  <sheetFormatPr defaultRowHeight="18" customHeight="1" x14ac:dyDescent="0.45"/>
  <cols>
    <col min="1" max="1" width="9.1328125" style="22" customWidth="1"/>
    <col min="2" max="5" width="9.9296875" style="22" customWidth="1"/>
    <col min="6" max="6" width="9.1328125" style="22" customWidth="1"/>
    <col min="7" max="7" width="9.06640625" style="22"/>
    <col min="8" max="9" width="10.73046875" style="22" customWidth="1"/>
    <col min="10" max="16384" width="9.06640625" style="22"/>
  </cols>
  <sheetData>
    <row r="2" spans="2:8" ht="18" customHeight="1" x14ac:dyDescent="0.45">
      <c r="B2" s="21" t="s">
        <v>68</v>
      </c>
    </row>
    <row r="4" spans="2:8" ht="18" customHeight="1" x14ac:dyDescent="0.45">
      <c r="B4" s="34" t="s">
        <v>69</v>
      </c>
      <c r="C4" s="34" t="s">
        <v>70</v>
      </c>
      <c r="D4" s="34" t="s">
        <v>71</v>
      </c>
      <c r="E4" s="34" t="s">
        <v>72</v>
      </c>
    </row>
    <row r="5" spans="2:8" ht="18" customHeight="1" x14ac:dyDescent="0.45">
      <c r="B5" s="25" t="s">
        <v>73</v>
      </c>
      <c r="C5" s="25" t="s">
        <v>74</v>
      </c>
      <c r="D5" s="25" t="s">
        <v>75</v>
      </c>
      <c r="E5" s="35">
        <v>15</v>
      </c>
      <c r="G5" s="26" t="s">
        <v>69</v>
      </c>
      <c r="H5" s="25" t="s">
        <v>79</v>
      </c>
    </row>
    <row r="6" spans="2:8" ht="18" customHeight="1" x14ac:dyDescent="0.45">
      <c r="B6" s="25" t="s">
        <v>73</v>
      </c>
      <c r="C6" s="25" t="s">
        <v>81</v>
      </c>
      <c r="D6" s="25" t="s">
        <v>76</v>
      </c>
      <c r="E6" s="35">
        <v>16</v>
      </c>
      <c r="G6" s="26" t="s">
        <v>70</v>
      </c>
      <c r="H6" s="25" t="s">
        <v>81</v>
      </c>
    </row>
    <row r="7" spans="2:8" ht="18" customHeight="1" x14ac:dyDescent="0.45">
      <c r="B7" s="25" t="s">
        <v>73</v>
      </c>
      <c r="C7" s="25" t="s">
        <v>82</v>
      </c>
      <c r="D7" s="25" t="s">
        <v>75</v>
      </c>
      <c r="E7" s="35">
        <v>17</v>
      </c>
      <c r="G7" s="26" t="s">
        <v>71</v>
      </c>
      <c r="H7" s="25" t="s">
        <v>76</v>
      </c>
    </row>
    <row r="8" spans="2:8" ht="18" customHeight="1" x14ac:dyDescent="0.45">
      <c r="B8" s="25" t="s">
        <v>73</v>
      </c>
      <c r="C8" s="25" t="s">
        <v>82</v>
      </c>
      <c r="D8" s="25" t="s">
        <v>76</v>
      </c>
      <c r="E8" s="35">
        <v>16</v>
      </c>
      <c r="G8" s="26" t="s">
        <v>72</v>
      </c>
      <c r="H8" s="35" cm="1">
        <f t="array" ref="H8">_xlfn.XLOOKUP(1,(B5:B15=H5)*(C5:C15=H6)*(D5:D15=H7),E5:E15)</f>
        <v>29</v>
      </c>
    </row>
    <row r="9" spans="2:8" ht="18" customHeight="1" x14ac:dyDescent="0.45">
      <c r="B9" s="25" t="s">
        <v>79</v>
      </c>
      <c r="C9" s="25" t="s">
        <v>74</v>
      </c>
      <c r="D9" s="25" t="s">
        <v>77</v>
      </c>
      <c r="E9" s="35">
        <v>28</v>
      </c>
    </row>
    <row r="10" spans="2:8" ht="18" customHeight="1" x14ac:dyDescent="0.45">
      <c r="B10" s="25" t="s">
        <v>79</v>
      </c>
      <c r="C10" s="25" t="s">
        <v>81</v>
      </c>
      <c r="D10" s="25" t="s">
        <v>76</v>
      </c>
      <c r="E10" s="35">
        <v>29</v>
      </c>
    </row>
    <row r="11" spans="2:8" ht="18" customHeight="1" x14ac:dyDescent="0.45">
      <c r="B11" s="25" t="s">
        <v>79</v>
      </c>
      <c r="C11" s="25" t="s">
        <v>82</v>
      </c>
      <c r="D11" s="25" t="s">
        <v>78</v>
      </c>
      <c r="E11" s="35">
        <v>30</v>
      </c>
    </row>
    <row r="12" spans="2:8" ht="18" customHeight="1" x14ac:dyDescent="0.45">
      <c r="B12" s="25" t="s">
        <v>80</v>
      </c>
      <c r="C12" s="25" t="s">
        <v>81</v>
      </c>
      <c r="D12" s="25" t="s">
        <v>78</v>
      </c>
      <c r="E12" s="35">
        <v>25</v>
      </c>
    </row>
    <row r="13" spans="2:8" ht="18" customHeight="1" x14ac:dyDescent="0.45">
      <c r="B13" s="25" t="s">
        <v>80</v>
      </c>
      <c r="C13" s="25" t="s">
        <v>81</v>
      </c>
      <c r="D13" s="25" t="s">
        <v>77</v>
      </c>
      <c r="E13" s="35">
        <v>26</v>
      </c>
    </row>
    <row r="14" spans="2:8" ht="18" customHeight="1" x14ac:dyDescent="0.45">
      <c r="B14" s="25" t="s">
        <v>80</v>
      </c>
      <c r="C14" s="25" t="s">
        <v>82</v>
      </c>
      <c r="D14" s="25" t="s">
        <v>78</v>
      </c>
      <c r="E14" s="35">
        <v>25</v>
      </c>
    </row>
    <row r="15" spans="2:8" ht="18" customHeight="1" x14ac:dyDescent="0.45">
      <c r="B15" s="25" t="s">
        <v>80</v>
      </c>
      <c r="C15" s="25" t="s">
        <v>82</v>
      </c>
      <c r="D15" s="25" t="s">
        <v>75</v>
      </c>
      <c r="E15" s="3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Thumb</vt:lpstr>
      <vt:lpstr>Appromiate</vt:lpstr>
      <vt:lpstr>Default</vt:lpstr>
      <vt:lpstr>Multiple Values</vt:lpstr>
      <vt:lpstr>Two-way</vt:lpstr>
      <vt:lpstr>Multiple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 KROEM</dc:creator>
  <cp:lastModifiedBy>Kiri KROEM</cp:lastModifiedBy>
  <dcterms:created xsi:type="dcterms:W3CDTF">2025-10-25T06:26:45Z</dcterms:created>
  <dcterms:modified xsi:type="dcterms:W3CDTF">2025-11-18T09:04:03Z</dcterms:modified>
</cp:coreProperties>
</file>